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/>
  <mc:AlternateContent xmlns:mc="http://schemas.openxmlformats.org/markup-compatibility/2006">
    <mc:Choice Requires="x15">
      <x15ac:absPath xmlns:x15ac="http://schemas.microsoft.com/office/spreadsheetml/2010/11/ac" url="C:\Users\CCC\Documents\"/>
    </mc:Choice>
  </mc:AlternateContent>
  <xr:revisionPtr revIDLastSave="0" documentId="13_ncr:1_{A8A621D9-E1EA-414A-8CE0-3509E2E115C3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Engjëll Kërçishta" sheetId="2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0" l="1"/>
  <c r="G38" i="20" s="1"/>
  <c r="I29" i="20"/>
  <c r="I28" i="20"/>
  <c r="I27" i="20"/>
  <c r="I26" i="20"/>
  <c r="I25" i="20"/>
  <c r="I24" i="20"/>
  <c r="I23" i="20"/>
  <c r="I22" i="20"/>
  <c r="I21" i="20"/>
  <c r="I20" i="20"/>
  <c r="I30" i="20"/>
  <c r="I31" i="20"/>
  <c r="I32" i="20"/>
  <c r="I33" i="20"/>
</calcChain>
</file>

<file path=xl/sharedStrings.xml><?xml version="1.0" encoding="utf-8"?>
<sst xmlns="http://schemas.openxmlformats.org/spreadsheetml/2006/main" count="66" uniqueCount="42">
  <si>
    <t>МК 4008021504853</t>
  </si>
  <si>
    <t>mitegra.mk</t>
  </si>
  <si>
    <t>info@mitegra.mk</t>
  </si>
  <si>
    <t xml:space="preserve"> </t>
  </si>
  <si>
    <t>MITEGRA TECHNOLOGY SYSTEM DOOEL EXPORT-IMPORT DIBËR</t>
  </si>
  <si>
    <t>Komercjalna Banka AD Shkup</t>
  </si>
  <si>
    <t>PËRSHKRIM</t>
  </si>
  <si>
    <t>TOTAL</t>
  </si>
  <si>
    <t>MITEGRA</t>
  </si>
  <si>
    <t xml:space="preserve">Argetim Iljazi </t>
  </si>
  <si>
    <t>Nr.</t>
  </si>
  <si>
    <t xml:space="preserve">Oferte per </t>
  </si>
  <si>
    <t xml:space="preserve">Maqedonia e veriut </t>
  </si>
  <si>
    <t>Diber</t>
  </si>
  <si>
    <t>Sasia</t>
  </si>
  <si>
    <t>njesia</t>
  </si>
  <si>
    <t>cmimi</t>
  </si>
  <si>
    <t>TVSH</t>
  </si>
  <si>
    <t>Total</t>
  </si>
  <si>
    <t xml:space="preserve">Klient </t>
  </si>
  <si>
    <t xml:space="preserve">gjithsejt </t>
  </si>
  <si>
    <t>Data</t>
  </si>
  <si>
    <t>rr.Amdi Lleshi</t>
  </si>
  <si>
    <t>cop</t>
  </si>
  <si>
    <t>Oferta</t>
  </si>
  <si>
    <t>Antifriz</t>
  </si>
  <si>
    <t>L</t>
  </si>
  <si>
    <t>Arsim</t>
  </si>
  <si>
    <t>arsim</t>
  </si>
  <si>
    <t>Montim toplinsk edhe installim</t>
  </si>
  <si>
    <t>Montim radiator</t>
  </si>
  <si>
    <t>Materiale lidhje toplinsk</t>
  </si>
  <si>
    <t>Fiting lidhje toplinsk</t>
  </si>
  <si>
    <t>Fiting lidhje baffer</t>
  </si>
  <si>
    <t>Pun qarkullimi wiuo RS 30/8</t>
  </si>
  <si>
    <t>Radiator panell 2 MT</t>
  </si>
  <si>
    <t>Radiator panell 1.40 MT</t>
  </si>
  <si>
    <t>Radiator panell 1 MT</t>
  </si>
  <si>
    <t>Radiator register 500 x 1200</t>
  </si>
  <si>
    <t>Kolektor T 1'</t>
  </si>
  <si>
    <t>Ventila 1'</t>
  </si>
  <si>
    <t>Toplinsk monobllok 6 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</si>
</sst>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(&quot;$&quot;* #,##0.00_);_(&quot;$&quot;* \(#,##0.00\);_(&quot;$&quot;* &quot;-&quot;??_);_(@_)"/>
    <numFmt numFmtId="164" formatCode="&quot;$&quot;#,##0.00"/>
    <numFmt numFmtId="165" formatCode="[$din]#,##0.00"/>
    <numFmt numFmtId="167" formatCode="mm/dd/yyyy"/>
    <numFmt numFmtId="168" formatCode="_([$MKD]\ * #,##0.00_);_([$MKD]\ * \(#,##0.00\);_([$MKD]\ * &quot;-&quot;??_);_(@_)"/>
    <numFmt numFmtId="170" formatCode="[$MKD]\ #,##0"/>
    <numFmt numFmtId="171" formatCode="[$MKD]\ #,##0.00"/>
    <numFmt numFmtId="173" formatCode="[$EUR]\ #,##0"/>
    <numFmt numFmtId="174" formatCode="[$EUR]\ #,##0.00"/>
  </numFmts>
  <fonts count="35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b/>
      <sz val="10"/>
      <color rgb="FF000000"/>
      <name val="Arial"/>
    </font>
    <font>
      <sz val="10"/>
      <color rgb="FF000000"/>
      <name val="Arial"/>
    </font>
    <font>
      <sz val="36"/>
      <color rgb="FF000000"/>
      <name val="Arial"/>
    </font>
    <font>
      <b/>
      <sz val="8"/>
      <color rgb="FF000000"/>
      <name val="Arial"/>
    </font>
    <font>
      <sz val="10"/>
      <color theme="1"/>
      <name val="Arial"/>
    </font>
    <font>
      <b/>
      <sz val="12"/>
      <color rgb="FF000000"/>
      <name val="Arial"/>
    </font>
    <font>
      <b/>
      <sz val="8"/>
      <color theme="1"/>
      <name val="Arial"/>
    </font>
    <font>
      <sz val="9"/>
      <color theme="1"/>
      <name val="Arial"/>
    </font>
    <font>
      <b/>
      <sz val="14"/>
      <color rgb="FF000000"/>
      <name val="Arial"/>
    </font>
    <font>
      <sz val="6"/>
      <color rgb="FF434343"/>
      <name val="Arial"/>
      <scheme val="minor"/>
    </font>
    <font>
      <sz val="10"/>
      <color rgb="FF000000"/>
      <name val="Arial"/>
    </font>
    <font>
      <sz val="10"/>
      <color theme="1"/>
      <name val="Arial"/>
    </font>
    <font>
      <b/>
      <sz val="18"/>
      <color theme="1"/>
      <name val="Arial"/>
    </font>
    <font>
      <b/>
      <sz val="14"/>
      <color theme="1"/>
      <name val="Arial"/>
    </font>
    <font>
      <b/>
      <sz val="18"/>
      <color theme="1"/>
      <name val="Arial"/>
      <scheme val="minor"/>
    </font>
    <font>
      <sz val="10"/>
      <color theme="1"/>
      <name val="Arial"/>
      <family val="2"/>
    </font>
    <font>
      <b/>
      <sz val="12"/>
      <color rgb="FF000000"/>
      <name val="Arial"/>
      <family val="2"/>
    </font>
    <font>
      <b/>
      <sz val="8"/>
      <color theme="1"/>
      <name val="Arial"/>
      <family val="2"/>
    </font>
    <font>
      <b/>
      <i/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i/>
      <sz val="12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6"/>
      <color theme="1"/>
      <name val="Arial"/>
      <family val="2"/>
    </font>
    <font>
      <sz val="16"/>
      <color rgb="FF000000"/>
      <name val="Arial"/>
      <family val="2"/>
      <scheme val="minor"/>
    </font>
    <font>
      <b/>
      <sz val="14"/>
      <color rgb="FF000000"/>
      <name val="Arial"/>
      <family val="2"/>
    </font>
    <font>
      <b/>
      <i/>
      <sz val="14"/>
      <color rgb="FF000000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7B7B7"/>
        <bgColor rgb="FFB7B7B7"/>
      </patternFill>
    </fill>
    <fill>
      <patternFill patternType="solid">
        <fgColor rgb="FF999999"/>
        <bgColor rgb="FF9999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7E1CD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/>
    <xf numFmtId="0" fontId="1" fillId="3" borderId="0" xfId="0" applyFont="1" applyFill="1"/>
    <xf numFmtId="0" fontId="12" fillId="3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left"/>
    </xf>
    <xf numFmtId="44" fontId="1" fillId="2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0" fillId="3" borderId="0" xfId="0" applyFont="1" applyFill="1" applyAlignment="1">
      <alignment horizontal="left"/>
    </xf>
    <xf numFmtId="3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/>
    </xf>
    <xf numFmtId="165" fontId="1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/>
    </xf>
    <xf numFmtId="165" fontId="16" fillId="0" borderId="0" xfId="0" applyNumberFormat="1" applyFont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20" fillId="0" borderId="0" xfId="0" applyFont="1" applyAlignment="1">
      <alignment horizontal="left" vertical="center"/>
    </xf>
    <xf numFmtId="164" fontId="20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left" vertical="top"/>
    </xf>
    <xf numFmtId="0" fontId="0" fillId="0" borderId="1" xfId="0" applyBorder="1"/>
    <xf numFmtId="0" fontId="26" fillId="0" borderId="1" xfId="0" applyFont="1" applyBorder="1"/>
    <xf numFmtId="0" fontId="23" fillId="3" borderId="0" xfId="0" applyFont="1" applyFill="1" applyAlignment="1">
      <alignment horizontal="left"/>
    </xf>
    <xf numFmtId="3" fontId="10" fillId="0" borderId="2" xfId="0" applyNumberFormat="1" applyFont="1" applyBorder="1" applyAlignment="1">
      <alignment horizontal="left" vertical="center"/>
    </xf>
    <xf numFmtId="3" fontId="22" fillId="0" borderId="2" xfId="0" applyNumberFormat="1" applyFont="1" applyBorder="1" applyAlignment="1">
      <alignment horizontal="left" vertical="center"/>
    </xf>
    <xf numFmtId="0" fontId="21" fillId="0" borderId="10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11" fillId="2" borderId="0" xfId="0" applyFont="1" applyFill="1" applyAlignment="1">
      <alignment horizontal="center"/>
    </xf>
    <xf numFmtId="168" fontId="0" fillId="0" borderId="0" xfId="0" applyNumberFormat="1"/>
    <xf numFmtId="0" fontId="33" fillId="2" borderId="0" xfId="0" applyFont="1" applyFill="1" applyAlignme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/>
    <xf numFmtId="0" fontId="10" fillId="0" borderId="0" xfId="0" applyFont="1" applyAlignment="1">
      <alignment horizontal="left"/>
    </xf>
    <xf numFmtId="0" fontId="0" fillId="0" borderId="0" xfId="0"/>
    <xf numFmtId="0" fontId="2" fillId="3" borderId="0" xfId="0" applyFont="1" applyFill="1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13" fillId="0" borderId="0" xfId="0" applyFont="1" applyAlignment="1">
      <alignment horizontal="left"/>
    </xf>
    <xf numFmtId="0" fontId="4" fillId="2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18" fillId="2" borderId="11" xfId="0" applyFont="1" applyFill="1" applyBorder="1" applyAlignment="1">
      <alignment horizontal="left" vertical="center" wrapText="1"/>
    </xf>
    <xf numFmtId="0" fontId="0" fillId="0" borderId="2" xfId="0" applyBorder="1" applyAlignment="1">
      <alignment wrapText="1"/>
    </xf>
    <xf numFmtId="0" fontId="23" fillId="7" borderId="0" xfId="0" applyFont="1" applyFill="1" applyAlignment="1">
      <alignment horizontal="left"/>
    </xf>
    <xf numFmtId="0" fontId="27" fillId="7" borderId="0" xfId="0" applyFont="1" applyFill="1"/>
    <xf numFmtId="167" fontId="10" fillId="0" borderId="0" xfId="0" applyNumberFormat="1" applyFont="1" applyAlignment="1">
      <alignment horizontal="left"/>
    </xf>
    <xf numFmtId="0" fontId="24" fillId="8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6" fillId="4" borderId="4" xfId="0" applyFont="1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6" borderId="3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5" borderId="4" xfId="0" applyFont="1" applyFill="1" applyBorder="1" applyAlignment="1">
      <alignment horizontal="left"/>
    </xf>
    <xf numFmtId="0" fontId="14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0" xfId="0" applyFont="1" applyFill="1" applyAlignment="1">
      <alignment horizontal="left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34" fillId="2" borderId="0" xfId="0" applyFont="1" applyFill="1" applyAlignment="1">
      <alignment horizontal="left" vertical="center"/>
    </xf>
    <xf numFmtId="170" fontId="10" fillId="0" borderId="2" xfId="0" applyNumberFormat="1" applyFont="1" applyBorder="1" applyAlignment="1">
      <alignment horizontal="left" vertical="center"/>
    </xf>
    <xf numFmtId="171" fontId="17" fillId="0" borderId="0" xfId="0" applyNumberFormat="1" applyFont="1"/>
    <xf numFmtId="171" fontId="0" fillId="0" borderId="0" xfId="0" applyNumberFormat="1"/>
    <xf numFmtId="173" fontId="10" fillId="0" borderId="2" xfId="0" applyNumberFormat="1" applyFont="1" applyBorder="1" applyAlignment="1">
      <alignment horizontal="left" vertical="center"/>
    </xf>
    <xf numFmtId="174" fontId="32" fillId="0" borderId="0" xfId="0" applyNumberFormat="1" applyFont="1"/>
    <xf numFmtId="174" fontId="29" fillId="0" borderId="0" xfId="0" applyNumberFormat="1" applyFont="1"/>
    <xf numFmtId="174" fontId="17" fillId="0" borderId="0" xfId="0" applyNumberFormat="1" applyFont="1"/>
    <xf numFmtId="174" fontId="0" fillId="0" borderId="0" xfId="0" applyNumberFormat="1"/>
    <xf numFmtId="173" fontId="10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>
    <tableStyle name="shqip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9525</xdr:rowOff>
    </xdr:from>
    <xdr:ext cx="6381750" cy="19050"/>
    <xdr:grpSp>
      <xdr:nvGrpSpPr>
        <xdr:cNvPr id="2" name="Shape 2" title="Drawing">
          <a:extLst>
            <a:ext uri="{FF2B5EF4-FFF2-40B4-BE49-F238E27FC236}">
              <a16:creationId xmlns:a16="http://schemas.microsoft.com/office/drawing/2014/main" id="{549E6323-2B4D-4121-A9FC-500DE2CE1B04}"/>
            </a:ext>
          </a:extLst>
        </xdr:cNvPr>
        <xdr:cNvGrpSpPr/>
      </xdr:nvGrpSpPr>
      <xdr:grpSpPr>
        <a:xfrm>
          <a:off x="285750" y="1600200"/>
          <a:ext cx="6381750" cy="19050"/>
          <a:chOff x="-77575" y="378175"/>
          <a:chExt cx="6448200" cy="0"/>
        </a:xfrm>
      </xdr:grpSpPr>
      <xdr:cxnSp macro="">
        <xdr:nvCxnSpPr>
          <xdr:cNvPr id="3" name="Shape 4">
            <a:extLst>
              <a:ext uri="{FF2B5EF4-FFF2-40B4-BE49-F238E27FC236}">
                <a16:creationId xmlns:a16="http://schemas.microsoft.com/office/drawing/2014/main" id="{A0791486-279A-A530-1A8F-B4E5B2C66CCF}"/>
              </a:ext>
            </a:extLst>
          </xdr:cNvPr>
          <xdr:cNvCxnSpPr/>
        </xdr:nvCxnSpPr>
        <xdr:spPr>
          <a:xfrm>
            <a:off x="-77575" y="378175"/>
            <a:ext cx="6448200" cy="0"/>
          </a:xfrm>
          <a:prstGeom prst="straightConnector1">
            <a:avLst/>
          </a:prstGeom>
          <a:noFill/>
          <a:ln w="9525" cap="flat" cmpd="sng">
            <a:solidFill>
              <a:srgbClr val="CCCCCC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0</xdr:col>
      <xdr:colOff>266700</xdr:colOff>
      <xdr:row>2</xdr:row>
      <xdr:rowOff>38100</xdr:rowOff>
    </xdr:from>
    <xdr:ext cx="2943225" cy="93345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8D89B397-F098-4454-8C75-CC0275923EC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6700" y="295275"/>
          <a:ext cx="2943225" cy="9334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itegra.m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L49"/>
  <sheetViews>
    <sheetView tabSelected="1" topLeftCell="A21" workbookViewId="0">
      <selection activeCell="A45" sqref="A1:I45"/>
    </sheetView>
  </sheetViews>
  <sheetFormatPr defaultColWidth="12.5703125" defaultRowHeight="15.75" customHeight="1" x14ac:dyDescent="0.2"/>
  <cols>
    <col min="1" max="1" width="4.28515625" customWidth="1"/>
    <col min="2" max="2" width="4.140625" customWidth="1"/>
    <col min="4" max="4" width="28.5703125" customWidth="1"/>
    <col min="5" max="5" width="9.5703125" customWidth="1"/>
    <col min="6" max="6" width="8.28515625" customWidth="1"/>
    <col min="7" max="7" width="16.5703125" customWidth="1"/>
    <col min="8" max="8" width="6.28515625" customWidth="1"/>
    <col min="9" max="9" width="16.42578125" customWidth="1"/>
    <col min="10" max="10" width="3.7109375" customWidth="1"/>
    <col min="12" max="12" width="14.140625" bestFit="1" customWidth="1"/>
  </cols>
  <sheetData>
    <row r="1" spans="1:10" ht="7.5" customHeight="1" x14ac:dyDescent="0.2">
      <c r="A1" s="7" t="s">
        <v>3</v>
      </c>
      <c r="B1" s="1"/>
      <c r="C1" s="1"/>
      <c r="D1" s="1"/>
      <c r="E1" s="41" t="s">
        <v>4</v>
      </c>
      <c r="F1" s="41"/>
      <c r="G1" s="40"/>
      <c r="H1" s="40"/>
      <c r="I1" s="40"/>
    </row>
    <row r="2" spans="1:10" ht="12.75" x14ac:dyDescent="0.2">
      <c r="A2" s="7" t="s">
        <v>3</v>
      </c>
      <c r="B2" s="1"/>
      <c r="C2" s="1"/>
      <c r="D2" s="1"/>
      <c r="E2" s="40"/>
      <c r="F2" s="40"/>
      <c r="G2" s="40"/>
      <c r="H2" s="40"/>
      <c r="I2" s="40"/>
    </row>
    <row r="3" spans="1:10" ht="12.75" x14ac:dyDescent="0.2">
      <c r="A3" s="8" t="s">
        <v>3</v>
      </c>
      <c r="B3" s="18"/>
      <c r="C3" s="18"/>
      <c r="D3" s="2"/>
      <c r="E3" s="40"/>
      <c r="F3" s="40"/>
      <c r="G3" s="40"/>
      <c r="H3" s="40"/>
      <c r="I3" s="40"/>
    </row>
    <row r="4" spans="1:10" ht="12.75" x14ac:dyDescent="0.2">
      <c r="A4" s="8" t="s">
        <v>3</v>
      </c>
      <c r="B4" s="18"/>
      <c r="C4" s="18"/>
      <c r="D4" s="18"/>
      <c r="E4" s="42" t="s">
        <v>22</v>
      </c>
      <c r="F4" s="42"/>
      <c r="G4" s="40"/>
      <c r="H4" s="40"/>
      <c r="I4" s="40"/>
    </row>
    <row r="5" spans="1:10" ht="12.75" x14ac:dyDescent="0.2">
      <c r="A5" s="8" t="s">
        <v>3</v>
      </c>
      <c r="B5" s="43"/>
      <c r="C5" s="40"/>
      <c r="D5" s="40"/>
      <c r="E5" s="44" t="s">
        <v>5</v>
      </c>
      <c r="F5" s="44"/>
      <c r="G5" s="40"/>
      <c r="H5" s="40"/>
      <c r="I5" s="40"/>
    </row>
    <row r="6" spans="1:10" ht="12.75" x14ac:dyDescent="0.2">
      <c r="A6" s="8" t="s">
        <v>3</v>
      </c>
      <c r="B6" s="40"/>
      <c r="C6" s="40"/>
      <c r="D6" s="40"/>
      <c r="E6" s="45">
        <v>300170000030340</v>
      </c>
      <c r="F6" s="45"/>
      <c r="G6" s="46"/>
      <c r="H6" s="46"/>
      <c r="I6" s="46"/>
    </row>
    <row r="7" spans="1:10" ht="12.75" x14ac:dyDescent="0.2">
      <c r="A7" s="8" t="s">
        <v>3</v>
      </c>
      <c r="B7" s="40"/>
      <c r="C7" s="40"/>
      <c r="D7" s="40"/>
      <c r="E7" s="44" t="s">
        <v>0</v>
      </c>
      <c r="F7" s="44"/>
      <c r="G7" s="40"/>
      <c r="H7" s="40"/>
      <c r="I7" s="40"/>
    </row>
    <row r="8" spans="1:10" ht="12.75" x14ac:dyDescent="0.2">
      <c r="A8" s="8" t="s">
        <v>3</v>
      </c>
      <c r="B8" s="18"/>
      <c r="C8" s="18"/>
      <c r="D8" s="18"/>
      <c r="E8" s="47" t="s">
        <v>1</v>
      </c>
      <c r="F8" s="47"/>
      <c r="G8" s="40"/>
      <c r="H8" s="40"/>
      <c r="I8" s="40"/>
    </row>
    <row r="9" spans="1:10" ht="12.75" x14ac:dyDescent="0.2">
      <c r="A9" s="8" t="s">
        <v>3</v>
      </c>
      <c r="B9" s="3"/>
      <c r="C9" s="3"/>
      <c r="D9" s="3"/>
      <c r="E9" s="42" t="s">
        <v>2</v>
      </c>
      <c r="F9" s="42"/>
      <c r="G9" s="40"/>
      <c r="H9" s="40"/>
      <c r="I9" s="40"/>
    </row>
    <row r="10" spans="1:10" x14ac:dyDescent="0.25">
      <c r="A10" s="8" t="s">
        <v>3</v>
      </c>
      <c r="B10" s="9"/>
      <c r="C10" s="9"/>
      <c r="D10" s="9"/>
      <c r="E10" s="48">
        <v>38946791241</v>
      </c>
      <c r="F10" s="48"/>
      <c r="G10" s="40"/>
      <c r="H10" s="40"/>
      <c r="I10" s="32"/>
    </row>
    <row r="11" spans="1:10" ht="12.75" x14ac:dyDescent="0.2">
      <c r="A11" s="8" t="s">
        <v>3</v>
      </c>
      <c r="B11" s="49" t="s">
        <v>11</v>
      </c>
      <c r="C11" s="40"/>
      <c r="D11" s="40"/>
      <c r="E11" s="40"/>
      <c r="G11" s="50" t="s">
        <v>24</v>
      </c>
      <c r="H11" s="40"/>
      <c r="I11" s="40"/>
    </row>
    <row r="12" spans="1:10" ht="18.75" customHeight="1" x14ac:dyDescent="0.3">
      <c r="A12" s="10"/>
      <c r="B12" s="37" t="s">
        <v>27</v>
      </c>
      <c r="C12" s="38"/>
      <c r="D12" s="38"/>
      <c r="E12" s="38"/>
      <c r="G12" s="39">
        <v>585</v>
      </c>
      <c r="H12" s="40"/>
      <c r="I12" s="40"/>
      <c r="J12" s="5"/>
    </row>
    <row r="13" spans="1:10" ht="12.75" x14ac:dyDescent="0.2">
      <c r="A13" s="10"/>
      <c r="B13" s="39"/>
      <c r="C13" s="40"/>
      <c r="D13" s="40"/>
      <c r="E13" s="40"/>
      <c r="G13" s="49" t="s">
        <v>21</v>
      </c>
      <c r="H13" s="40"/>
      <c r="I13" s="40"/>
      <c r="J13" s="5"/>
    </row>
    <row r="14" spans="1:10" ht="15" customHeight="1" x14ac:dyDescent="0.25">
      <c r="A14" s="10"/>
      <c r="B14" s="53" t="s">
        <v>12</v>
      </c>
      <c r="C14" s="54"/>
      <c r="D14" s="54"/>
      <c r="E14" s="54"/>
      <c r="G14" s="55">
        <v>45089</v>
      </c>
      <c r="H14" s="40"/>
      <c r="I14" s="40"/>
      <c r="J14" s="5"/>
    </row>
    <row r="15" spans="1:10" ht="15.75" customHeight="1" x14ac:dyDescent="0.25">
      <c r="A15" s="10"/>
      <c r="B15" s="53" t="s">
        <v>13</v>
      </c>
      <c r="C15" s="54"/>
      <c r="D15" s="54"/>
      <c r="E15" s="54"/>
      <c r="G15" s="49"/>
      <c r="H15" s="40"/>
      <c r="I15" s="40"/>
      <c r="J15" s="5"/>
    </row>
    <row r="16" spans="1:10" thickBot="1" x14ac:dyDescent="0.3">
      <c r="A16" s="10"/>
      <c r="B16" s="56">
        <v>1250</v>
      </c>
      <c r="C16" s="56"/>
      <c r="D16" s="26"/>
      <c r="E16" s="26"/>
      <c r="F16" s="11"/>
      <c r="G16" s="57"/>
      <c r="H16" s="40"/>
      <c r="I16" s="40"/>
      <c r="J16" s="5"/>
    </row>
    <row r="17" spans="1:10" ht="7.5" customHeight="1" thickBot="1" x14ac:dyDescent="0.25">
      <c r="A17" s="10"/>
      <c r="B17" s="58"/>
      <c r="C17" s="59"/>
      <c r="D17" s="59"/>
      <c r="E17" s="59"/>
      <c r="F17" s="59"/>
      <c r="G17" s="59"/>
      <c r="H17" s="59"/>
      <c r="I17" s="60"/>
      <c r="J17" s="5"/>
    </row>
    <row r="18" spans="1:10" ht="18.75" customHeight="1" x14ac:dyDescent="0.2">
      <c r="A18" s="10"/>
      <c r="B18" s="61"/>
      <c r="C18" s="62"/>
      <c r="D18" s="62"/>
      <c r="E18" s="62"/>
      <c r="F18" s="62"/>
      <c r="G18" s="62"/>
      <c r="H18" s="62"/>
      <c r="I18" s="63"/>
    </row>
    <row r="19" spans="1:10" ht="18" customHeight="1" thickBot="1" x14ac:dyDescent="0.25">
      <c r="A19" s="10"/>
      <c r="B19" s="21" t="s">
        <v>10</v>
      </c>
      <c r="C19" s="64" t="s">
        <v>6</v>
      </c>
      <c r="D19" s="40"/>
      <c r="E19" s="33" t="s">
        <v>14</v>
      </c>
      <c r="F19" s="22" t="s">
        <v>15</v>
      </c>
      <c r="G19" s="22" t="s">
        <v>16</v>
      </c>
      <c r="H19" s="21" t="s">
        <v>17</v>
      </c>
      <c r="I19" s="22" t="s">
        <v>18</v>
      </c>
    </row>
    <row r="20" spans="1:10" ht="18.75" customHeight="1" thickBot="1" x14ac:dyDescent="0.25">
      <c r="A20" s="31"/>
      <c r="B20" s="29">
        <v>1</v>
      </c>
      <c r="C20" s="51" t="s">
        <v>29</v>
      </c>
      <c r="D20" s="52"/>
      <c r="E20" s="27">
        <v>1</v>
      </c>
      <c r="F20" s="28" t="s">
        <v>23</v>
      </c>
      <c r="G20" s="77">
        <v>450</v>
      </c>
      <c r="H20" s="74"/>
      <c r="I20" s="82">
        <f>E20*G20</f>
        <v>450</v>
      </c>
    </row>
    <row r="21" spans="1:10" ht="18.75" customHeight="1" thickBot="1" x14ac:dyDescent="0.25">
      <c r="A21" s="31"/>
      <c r="B21" s="29">
        <v>2</v>
      </c>
      <c r="C21" s="51" t="s">
        <v>30</v>
      </c>
      <c r="D21" s="52"/>
      <c r="E21" s="27">
        <v>5</v>
      </c>
      <c r="F21" s="28" t="s">
        <v>23</v>
      </c>
      <c r="G21" s="77">
        <v>40</v>
      </c>
      <c r="H21" s="74"/>
      <c r="I21" s="82">
        <f>E21*G21</f>
        <v>200</v>
      </c>
    </row>
    <row r="22" spans="1:10" ht="18.75" customHeight="1" thickBot="1" x14ac:dyDescent="0.25">
      <c r="A22" s="31"/>
      <c r="B22" s="29">
        <v>3</v>
      </c>
      <c r="C22" s="51" t="s">
        <v>31</v>
      </c>
      <c r="D22" s="52"/>
      <c r="E22" s="27">
        <v>15</v>
      </c>
      <c r="F22" s="28" t="s">
        <v>23</v>
      </c>
      <c r="G22" s="77">
        <v>10</v>
      </c>
      <c r="H22" s="74"/>
      <c r="I22" s="82">
        <f>E22*G22</f>
        <v>150</v>
      </c>
    </row>
    <row r="23" spans="1:10" ht="18.75" customHeight="1" thickBot="1" x14ac:dyDescent="0.25">
      <c r="A23" s="31"/>
      <c r="B23" s="29">
        <v>4</v>
      </c>
      <c r="C23" s="51" t="s">
        <v>32</v>
      </c>
      <c r="D23" s="52"/>
      <c r="E23" s="27">
        <v>1</v>
      </c>
      <c r="F23" s="28" t="s">
        <v>23</v>
      </c>
      <c r="G23" s="77">
        <v>40</v>
      </c>
      <c r="H23" s="74"/>
      <c r="I23" s="82">
        <f>E23*G23</f>
        <v>40</v>
      </c>
    </row>
    <row r="24" spans="1:10" ht="18.75" customHeight="1" thickBot="1" x14ac:dyDescent="0.25">
      <c r="A24" s="31"/>
      <c r="B24" s="29">
        <v>5</v>
      </c>
      <c r="C24" s="51" t="s">
        <v>33</v>
      </c>
      <c r="D24" s="52"/>
      <c r="E24" s="27">
        <v>1</v>
      </c>
      <c r="F24" s="28" t="s">
        <v>23</v>
      </c>
      <c r="G24" s="77">
        <v>80</v>
      </c>
      <c r="H24" s="74"/>
      <c r="I24" s="82">
        <f>E24*G24</f>
        <v>80</v>
      </c>
    </row>
    <row r="25" spans="1:10" ht="18.75" customHeight="1" thickBot="1" x14ac:dyDescent="0.25">
      <c r="A25" s="31"/>
      <c r="B25" s="29">
        <v>6</v>
      </c>
      <c r="C25" s="51" t="s">
        <v>34</v>
      </c>
      <c r="D25" s="52"/>
      <c r="E25" s="27">
        <v>1</v>
      </c>
      <c r="F25" s="28" t="s">
        <v>23</v>
      </c>
      <c r="G25" s="77">
        <v>220</v>
      </c>
      <c r="H25" s="74"/>
      <c r="I25" s="82">
        <f>E25*G25</f>
        <v>220</v>
      </c>
    </row>
    <row r="26" spans="1:10" ht="18.75" customHeight="1" thickBot="1" x14ac:dyDescent="0.25">
      <c r="A26" s="31"/>
      <c r="B26" s="29">
        <v>7</v>
      </c>
      <c r="C26" s="51" t="s">
        <v>35</v>
      </c>
      <c r="D26" s="52"/>
      <c r="E26" s="27">
        <v>1</v>
      </c>
      <c r="F26" s="28" t="s">
        <v>23</v>
      </c>
      <c r="G26" s="77">
        <v>180</v>
      </c>
      <c r="H26" s="74"/>
      <c r="I26" s="82">
        <f>E26*G26</f>
        <v>180</v>
      </c>
    </row>
    <row r="27" spans="1:10" ht="18.75" customHeight="1" thickBot="1" x14ac:dyDescent="0.25">
      <c r="A27" s="31"/>
      <c r="B27" s="29">
        <v>8</v>
      </c>
      <c r="C27" s="51" t="s">
        <v>36</v>
      </c>
      <c r="D27" s="52"/>
      <c r="E27" s="27">
        <v>2</v>
      </c>
      <c r="F27" s="28" t="s">
        <v>23</v>
      </c>
      <c r="G27" s="77">
        <v>140</v>
      </c>
      <c r="H27" s="74"/>
      <c r="I27" s="82">
        <f>E27*G27</f>
        <v>280</v>
      </c>
    </row>
    <row r="28" spans="1:10" ht="18.75" customHeight="1" thickBot="1" x14ac:dyDescent="0.25">
      <c r="A28" s="31"/>
      <c r="B28" s="29">
        <v>9</v>
      </c>
      <c r="C28" s="51" t="s">
        <v>37</v>
      </c>
      <c r="D28" s="52"/>
      <c r="E28" s="27">
        <v>1</v>
      </c>
      <c r="F28" s="28" t="s">
        <v>23</v>
      </c>
      <c r="G28" s="77">
        <v>110</v>
      </c>
      <c r="H28" s="74"/>
      <c r="I28" s="82">
        <f>E28*G28</f>
        <v>110</v>
      </c>
    </row>
    <row r="29" spans="1:10" ht="18.75" customHeight="1" thickBot="1" x14ac:dyDescent="0.25">
      <c r="A29" s="31"/>
      <c r="B29" s="29">
        <v>10</v>
      </c>
      <c r="C29" s="51" t="s">
        <v>38</v>
      </c>
      <c r="D29" s="52"/>
      <c r="E29" s="27">
        <v>1</v>
      </c>
      <c r="F29" s="28" t="s">
        <v>23</v>
      </c>
      <c r="G29" s="77">
        <v>150</v>
      </c>
      <c r="H29" s="74"/>
      <c r="I29" s="82">
        <f>E29*G29</f>
        <v>150</v>
      </c>
    </row>
    <row r="30" spans="1:10" ht="18.75" customHeight="1" thickBot="1" x14ac:dyDescent="0.25">
      <c r="A30" s="31"/>
      <c r="B30" s="29">
        <v>11</v>
      </c>
      <c r="C30" s="51" t="s">
        <v>39</v>
      </c>
      <c r="D30" s="52"/>
      <c r="E30" s="27">
        <v>10</v>
      </c>
      <c r="F30" s="28" t="s">
        <v>23</v>
      </c>
      <c r="G30" s="77">
        <v>7</v>
      </c>
      <c r="H30" s="74"/>
      <c r="I30" s="82">
        <f>E30*G30</f>
        <v>70</v>
      </c>
    </row>
    <row r="31" spans="1:10" ht="18.75" customHeight="1" thickBot="1" x14ac:dyDescent="0.25">
      <c r="A31" s="31"/>
      <c r="B31" s="29">
        <v>12</v>
      </c>
      <c r="C31" s="51" t="s">
        <v>40</v>
      </c>
      <c r="D31" s="52"/>
      <c r="E31" s="27">
        <v>2</v>
      </c>
      <c r="F31" s="28" t="s">
        <v>23</v>
      </c>
      <c r="G31" s="77">
        <v>20</v>
      </c>
      <c r="H31" s="74"/>
      <c r="I31" s="82">
        <f>E31*G31</f>
        <v>40</v>
      </c>
    </row>
    <row r="32" spans="1:10" ht="18.75" customHeight="1" thickBot="1" x14ac:dyDescent="0.25">
      <c r="A32" s="31"/>
      <c r="B32" s="29">
        <v>13</v>
      </c>
      <c r="C32" s="51" t="s">
        <v>41</v>
      </c>
      <c r="D32" s="52"/>
      <c r="E32" s="27">
        <v>1</v>
      </c>
      <c r="F32" s="28" t="s">
        <v>23</v>
      </c>
      <c r="G32" s="77">
        <v>2200</v>
      </c>
      <c r="H32" s="74"/>
      <c r="I32" s="82">
        <f>E32*G32</f>
        <v>2200</v>
      </c>
    </row>
    <row r="33" spans="1:12" ht="18.75" customHeight="1" thickBot="1" x14ac:dyDescent="0.25">
      <c r="A33" s="31"/>
      <c r="B33" s="29">
        <v>14</v>
      </c>
      <c r="C33" s="51" t="s">
        <v>25</v>
      </c>
      <c r="D33" s="52"/>
      <c r="E33" s="27">
        <v>40</v>
      </c>
      <c r="F33" s="28" t="s">
        <v>26</v>
      </c>
      <c r="G33" s="77">
        <v>2.6</v>
      </c>
      <c r="H33" s="74"/>
      <c r="I33" s="82">
        <f>E33*G33</f>
        <v>104</v>
      </c>
    </row>
    <row r="34" spans="1:12" ht="5.25" customHeight="1" thickBot="1" x14ac:dyDescent="0.25">
      <c r="A34" s="16"/>
      <c r="B34" s="65"/>
      <c r="C34" s="59"/>
      <c r="D34" s="59"/>
      <c r="E34" s="59"/>
      <c r="F34" s="59"/>
      <c r="G34" s="59"/>
      <c r="H34" s="59"/>
      <c r="I34" s="60"/>
    </row>
    <row r="35" spans="1:12" ht="19.5" customHeight="1" x14ac:dyDescent="0.2">
      <c r="A35" s="15"/>
      <c r="B35" s="30"/>
      <c r="C35" s="66"/>
      <c r="D35" s="40"/>
      <c r="E35" s="13"/>
      <c r="F35" s="13"/>
      <c r="G35" s="17"/>
      <c r="H35" s="19" t="s">
        <v>7</v>
      </c>
      <c r="I35" s="14"/>
    </row>
    <row r="36" spans="1:12" ht="24" customHeight="1" x14ac:dyDescent="0.3">
      <c r="E36" s="67" t="s">
        <v>20</v>
      </c>
      <c r="F36" s="67"/>
      <c r="G36" s="78">
        <f>SUM(I20:I33)</f>
        <v>4274</v>
      </c>
      <c r="H36" s="79"/>
      <c r="I36" s="79"/>
      <c r="L36" s="35"/>
    </row>
    <row r="37" spans="1:12" ht="24" customHeight="1" x14ac:dyDescent="0.3">
      <c r="E37" s="67" t="s">
        <v>17</v>
      </c>
      <c r="F37" s="67"/>
      <c r="G37" s="78">
        <v>0</v>
      </c>
      <c r="H37" s="79"/>
      <c r="I37" s="79"/>
    </row>
    <row r="38" spans="1:12" ht="24" customHeight="1" x14ac:dyDescent="0.35">
      <c r="E38" s="67" t="s">
        <v>18</v>
      </c>
      <c r="F38" s="67"/>
      <c r="G38" s="80">
        <f>G36</f>
        <v>4274</v>
      </c>
      <c r="H38" s="81"/>
      <c r="I38" s="81"/>
    </row>
    <row r="39" spans="1:12" ht="6.75" customHeight="1" x14ac:dyDescent="0.35">
      <c r="B39" s="33"/>
      <c r="C39" s="71"/>
      <c r="D39" s="40"/>
      <c r="E39" s="12"/>
      <c r="F39" s="12"/>
      <c r="G39" s="75"/>
      <c r="H39" s="76"/>
      <c r="I39" s="76"/>
    </row>
    <row r="40" spans="1:12" ht="18" x14ac:dyDescent="0.25">
      <c r="B40" s="68" t="s">
        <v>19</v>
      </c>
      <c r="C40" s="40"/>
      <c r="D40" s="6"/>
      <c r="E40" s="34"/>
      <c r="F40" s="34"/>
      <c r="G40" s="34"/>
      <c r="H40" s="34" t="s">
        <v>8</v>
      </c>
      <c r="I40" s="4"/>
    </row>
    <row r="41" spans="1:12" ht="18" x14ac:dyDescent="0.25">
      <c r="B41" s="69" t="s">
        <v>28</v>
      </c>
      <c r="C41" s="70"/>
      <c r="D41" s="70"/>
      <c r="E41" s="34"/>
      <c r="F41" s="34"/>
      <c r="G41" s="34"/>
      <c r="H41" s="20" t="s">
        <v>9</v>
      </c>
      <c r="I41" s="4"/>
    </row>
    <row r="42" spans="1:12" ht="22.5" customHeight="1" thickBot="1" x14ac:dyDescent="0.25">
      <c r="B42" s="25"/>
      <c r="C42" s="24"/>
      <c r="G42" s="24"/>
      <c r="H42" s="24"/>
      <c r="I42" s="24"/>
    </row>
    <row r="43" spans="1:12" ht="3.75" customHeight="1" x14ac:dyDescent="0.2">
      <c r="B43" s="33"/>
      <c r="C43" s="71"/>
      <c r="D43" s="40"/>
      <c r="E43" s="12"/>
      <c r="F43" s="12"/>
      <c r="I43" s="4"/>
    </row>
    <row r="44" spans="1:12" ht="5.25" customHeight="1" x14ac:dyDescent="0.25">
      <c r="D44" s="72"/>
      <c r="E44" s="40"/>
      <c r="I44" s="4"/>
    </row>
    <row r="45" spans="1:12" ht="12.75" x14ac:dyDescent="0.2">
      <c r="B45" s="21"/>
      <c r="C45" s="36"/>
      <c r="E45" s="12"/>
      <c r="F45" s="12"/>
    </row>
    <row r="46" spans="1:12" ht="16.5" customHeight="1" x14ac:dyDescent="0.2">
      <c r="B46" s="23"/>
      <c r="C46" s="73"/>
      <c r="D46" s="73"/>
      <c r="E46" s="73"/>
      <c r="F46" s="73"/>
      <c r="G46" s="73"/>
      <c r="H46" s="73"/>
      <c r="I46" s="73"/>
    </row>
    <row r="49" ht="15" customHeight="1" x14ac:dyDescent="0.2"/>
  </sheetData>
  <mergeCells count="53">
    <mergeCell ref="C25:D25"/>
    <mergeCell ref="C26:D26"/>
    <mergeCell ref="C27:D27"/>
    <mergeCell ref="C28:D28"/>
    <mergeCell ref="C29:D29"/>
    <mergeCell ref="C20:D20"/>
    <mergeCell ref="C21:D21"/>
    <mergeCell ref="C22:D22"/>
    <mergeCell ref="C23:D23"/>
    <mergeCell ref="C24:D24"/>
    <mergeCell ref="E37:F37"/>
    <mergeCell ref="G37:I37"/>
    <mergeCell ref="E38:F38"/>
    <mergeCell ref="G38:I38"/>
    <mergeCell ref="C39:D39"/>
    <mergeCell ref="G39:I39"/>
    <mergeCell ref="B40:C40"/>
    <mergeCell ref="B41:D41"/>
    <mergeCell ref="C43:D43"/>
    <mergeCell ref="D44:E44"/>
    <mergeCell ref="C46:I46"/>
    <mergeCell ref="B34:I34"/>
    <mergeCell ref="C35:D35"/>
    <mergeCell ref="E36:F36"/>
    <mergeCell ref="G36:I36"/>
    <mergeCell ref="C32:D32"/>
    <mergeCell ref="B13:E13"/>
    <mergeCell ref="G13:I13"/>
    <mergeCell ref="B14:E14"/>
    <mergeCell ref="G14:I14"/>
    <mergeCell ref="B15:E15"/>
    <mergeCell ref="G15:I15"/>
    <mergeCell ref="B16:C16"/>
    <mergeCell ref="G16:I16"/>
    <mergeCell ref="B17:I17"/>
    <mergeCell ref="B18:I18"/>
    <mergeCell ref="C19:D19"/>
    <mergeCell ref="C31:D31"/>
    <mergeCell ref="C33:D33"/>
    <mergeCell ref="C30:D30"/>
    <mergeCell ref="B12:E12"/>
    <mergeCell ref="G12:I12"/>
    <mergeCell ref="E1:I3"/>
    <mergeCell ref="E4:I4"/>
    <mergeCell ref="B5:D7"/>
    <mergeCell ref="E5:I5"/>
    <mergeCell ref="E6:I6"/>
    <mergeCell ref="E7:I7"/>
    <mergeCell ref="E8:I8"/>
    <mergeCell ref="E9:I9"/>
    <mergeCell ref="E10:H10"/>
    <mergeCell ref="B11:E11"/>
    <mergeCell ref="G11:I11"/>
  </mergeCells>
  <conditionalFormatting sqref="B16">
    <cfRule type="notContainsBlanks" dxfId="0" priority="1">
      <formula>LEN(TRIM(B16))&gt;0</formula>
    </cfRule>
  </conditionalFormatting>
  <hyperlinks>
    <hyperlink ref="E8" r:id="rId1" xr:uid="{00000000-0004-0000-0000-000000000000}"/>
  </hyperlinks>
  <pageMargins left="0.25" right="0.25" top="0.75" bottom="0.75" header="0.3" footer="0.3"/>
  <pageSetup scale="94" fitToHeight="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Engjëll Kërçishta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RilindPC</dc:creator>
  <cp:lastModifiedBy>CCC</cp:lastModifiedBy>
  <cp:lastPrinted>2023-06-12T10:02:09Z</cp:lastPrinted>
  <dcterms:created xsi:type="dcterms:W3CDTF">2022-08-20T20:56:28Z</dcterms:created>
  <dcterms:modified xsi:type="dcterms:W3CDTF">2023-06-12T14:24:29Z</dcterms:modified>
</cp:coreProperties>
</file>